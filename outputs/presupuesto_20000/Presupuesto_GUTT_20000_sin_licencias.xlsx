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9d73f4aa5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upuesto" sheetId="1" r:id="R7c95bbe169824b46"/>
    <x:sheet xmlns:r="http://schemas.openxmlformats.org/officeDocument/2006/relationships" name="Fuentes" sheetId="2" r:id="R94492d5294c3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;[Red]($#,##0.00);-"/>
    <x:numFmt numFmtId="201" formatCode="0.0%"/>
    <x:numFmt numFmtId="202" formatCode="$#,##0.00"/>
    <x:numFmt numFmtId="203" formatCode="0"/>
    <x:numFmt numFmtId="204" formatCode="dd-mmm-yyyy"/>
  </x:numFmts>
  <x:fonts count="13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b/>
      <x:sz val="12"/>
      <x:color rgb="FF548235"/>
      <x:name val="Arial"/>
    </x:font>
    <x:font>
      <x:b/>
      <x:sz val="11"/>
      <x:color rgb="FF1F2937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sz val="10"/>
      <x:color rgb="FF0000FF"/>
      <x:name val="Arial"/>
    </x:font>
    <x:font>
      <x:sz val="9"/>
      <x:color rgb="FF2F75B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0">
    <x:border/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left style="medium">
        <x:color rgb="FF548235"/>
      </x:left>
      <x:top style="medium">
        <x:color rgb="FF548235"/>
      </x:top>
      <x:bottom style="medium">
        <x:color rgb="FF548235"/>
      </x:bottom>
    </x:border>
    <x:border>
      <x:top style="medium">
        <x:color rgb="FF548235"/>
      </x:top>
      <x:bottom style="medium">
        <x:color rgb="FF548235"/>
      </x:bottom>
    </x:border>
    <x:border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right style="thin">
        <x:color rgb="FFFFFFFF"/>
      </x:right>
      <x:bottom style="thin">
        <x:color rgb="FFE3E8EE"/>
      </x:bottom>
    </x:border>
    <x:border>
      <x:left style="thin">
        <x:color rgb="FFFFFFFF"/>
      </x:left>
      <x:right style="thin">
        <x:color rgb="FFFFFFFF"/>
      </x:right>
      <x:bottom style="thin">
        <x:color rgb="FFE3E8EE"/>
      </x:bottom>
    </x:border>
    <x:border>
      <x:top style="thin">
        <x:color rgb="FFE3E8EE"/>
      </x:top>
      <x:bottom style="thin">
        <x:color rgb="FFE3E8EE"/>
      </x:bottom>
    </x:border>
    <x:border>
      <x:right style="thin">
        <x:color rgb="FFFFFFFF"/>
      </x:right>
      <x:top style="thin">
        <x:color rgb="FFE3E8EE"/>
      </x:top>
      <x:bottom style="thin">
        <x:color rgb="FFE3E8EE"/>
      </x:bottom>
    </x:border>
    <x:border>
      <x:right style="thin">
        <x:color rgb="FFC9D2DC"/>
      </x:right>
      <x:top style="thin">
        <x:color rgb="FFE3E8EE"/>
      </x:top>
      <x:bottom style="thin">
        <x:color rgb="FFE3E8EE"/>
      </x:bottom>
    </x:border>
    <x:border>
      <x:top style="thin">
        <x:color rgb="FFE3E8EE"/>
      </x:top>
      <x:bottom style="thin">
        <x:color rgb="FFC9D2DC"/>
      </x:bottom>
    </x:border>
    <x:border>
      <x:right style="thin">
        <x:color rgb="FFC9D2DC"/>
      </x:right>
      <x:top style="thin">
        <x:color rgb="FFE3E8EE"/>
      </x:top>
      <x:bottom style="thin">
        <x:color rgb="FFC9D2DC"/>
      </x:bottom>
    </x:border>
    <x:border>
      <x:right style="thin">
        <x:color rgb="FFFFFFFF"/>
      </x:right>
      <x:top style="thin">
        <x:color rgb="FFE3E8EE"/>
      </x:top>
      <x:bottom style="thin">
        <x:color rgb="FFC9D2DC"/>
      </x:bottom>
    </x:border>
    <x:border>
      <x:bottom style="thin">
        <x:color rgb="FFE3E8EE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3" xfId="0" applyNumberFormat="1" applyFont="1" applyFill="1" applyBorder="1" applyAlignment="1">
      <x:alignment vertical="center"/>
    </x:xf>
    <x:xf numFmtId="0" fontId="8" fillId="4" borderId="14" xfId="0" applyNumberFormat="1" applyFont="1" applyFill="1" applyBorder="1" applyAlignment="1">
      <x:alignment vertical="center"/>
    </x:xf>
    <x:xf numFmtId="0" fontId="8" fillId="4" borderId="15" xfId="0" applyNumberFormat="1" applyFont="1" applyFill="1" applyBorder="1" applyAlignment="1">
      <x:alignment vertical="center"/>
    </x:xf>
    <x:xf numFmtId="0" fontId="8" fillId="4" borderId="16" xfId="0" applyNumberFormat="1" applyFont="1" applyFill="1" applyBorder="1" applyAlignment="1">
      <x:alignment vertical="center"/>
    </x:xf>
    <x:xf numFmtId="0" fontId="8" fillId="4" borderId="17" xfId="0" applyNumberFormat="1" applyFont="1" applyFill="1" applyBorder="1" applyAlignment="1">
      <x:alignment vertical="center"/>
    </x:xf>
    <x:xf numFmtId="0" fontId="8" fillId="4" borderId="18" xfId="0" applyNumberFormat="1" applyFont="1" applyFill="1" applyBorder="1" applyAlignment="1">
      <x:alignment vertical="center"/>
    </x:xf>
    <x:xf numFmtId="0" fontId="8" fillId="4" borderId="19" xfId="0" applyNumberFormat="1" applyFont="1" applyFill="1" applyBorder="1" applyAlignment="1">
      <x:alignment vertical="center"/>
    </x:xf>
    <x:xf numFmtId="0" fontId="8" fillId="4" borderId="20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vertical="center"/>
    </x:xf>
    <x:xf numFmtId="0" fontId="8" fillId="2" borderId="14" xfId="0" applyNumberFormat="1" applyFont="1" applyFill="1" applyBorder="1" applyAlignment="1">
      <x:alignment vertical="center"/>
    </x:xf>
    <x:xf numFmtId="0" fontId="8" fillId="2" borderId="15" xfId="0" applyNumberFormat="1" applyFont="1" applyFill="1" applyBorder="1" applyAlignment="1">
      <x:alignment vertical="center"/>
    </x:xf>
    <x:xf numFmtId="0" fontId="9" fillId="2" borderId="13" xfId="0" applyNumberFormat="1" applyFont="1" applyFill="1" applyBorder="1" applyAlignment="1">
      <x:alignment vertical="center"/>
    </x:xf>
    <x:xf numFmtId="0" fontId="9" fillId="2" borderId="14" xfId="0" applyNumberFormat="1" applyFont="1" applyFill="1" applyBorder="1" applyAlignment="1">
      <x:alignment vertical="center"/>
    </x:xf>
    <x:xf numFmtId="0" fontId="9" fillId="2" borderId="1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3" borderId="11" xfId="0" applyNumberFormat="1" applyFont="1" applyFill="1" applyBorder="1" applyAlignment="1">
      <x:alignment vertical="center"/>
    </x:xf>
    <x:xf numFmtId="200" fontId="9" fillId="2" borderId="15" xfId="0" applyNumberFormat="1" applyFont="1" applyFill="1" applyBorder="1" applyAlignment="1">
      <x:alignment vertical="center"/>
    </x:xf>
    <x:xf numFmtId="200" fontId="8" fillId="4" borderId="17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3" borderId="1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3" fontId="6" fillId="3" borderId="11" xfId="0" applyNumberFormat="1" applyFont="1" applyFill="1" applyBorder="1" applyAlignment="1">
      <x:alignment horizontal="right" vertical="center"/>
    </x:xf>
    <x:xf numFmtId="200" fontId="6" fillId="3" borderId="11" xfId="0" applyNumberFormat="1" applyFont="1" applyFill="1" applyBorder="1" applyAlignment="1">
      <x:alignment horizontal="right" vertical="center"/>
    </x:xf>
    <x:xf numFmtId="0" fontId="6" fillId="3" borderId="1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9" fillId="2" borderId="14" xfId="0" applyNumberFormat="1" applyFont="1" applyFill="1" applyBorder="1" applyAlignment="1">
      <x:alignment horizontal="right" vertical="center"/>
    </x:xf>
    <x:xf numFmtId="200" fontId="9" fillId="2" borderId="15" xfId="0" applyNumberFormat="1" applyFont="1" applyFill="1" applyBorder="1" applyAlignment="1">
      <x:alignment horizontal="right" vertical="center"/>
    </x:xf>
    <x:xf numFmtId="0" fontId="8" fillId="4" borderId="0" xfId="0" applyNumberFormat="1" applyFont="1" applyFill="1" applyBorder="1" applyAlignment="1">
      <x:alignment horizontal="right" vertical="center"/>
    </x:xf>
    <x:xf numFmtId="200" fontId="8" fillId="4" borderId="17" xfId="0" applyNumberFormat="1" applyFont="1" applyFill="1" applyBorder="1" applyAlignment="1">
      <x:alignment horizontal="right" vertical="center"/>
    </x:xf>
    <x:xf numFmtId="0" fontId="4" fillId="2" borderId="21" xfId="0" applyNumberFormat="1" applyFont="1" applyFill="1" applyBorder="1" applyAlignment="1">
      <x:alignment horizontal="center" vertical="center" wrapText="1"/>
    </x:xf>
    <x:xf numFmtId="0" fontId="4" fillId="2" borderId="22" xfId="0" applyNumberFormat="1" applyFont="1" applyFill="1" applyBorder="1" applyAlignment="1">
      <x:alignment horizontal="center" vertical="center" wrapText="1"/>
    </x:xf>
    <x:xf numFmtId="0" fontId="1" fillId="0" borderId="23" xfId="0" applyNumberFormat="1" applyFont="1" applyFill="1" applyBorder="1" applyAlignment="1">
      <x:alignment vertical="center"/>
    </x:xf>
    <x:xf numFmtId="203" fontId="1" fillId="0" borderId="23" xfId="0" applyNumberFormat="1" applyFont="1" applyFill="1" applyBorder="1" applyAlignment="1">
      <x:alignment horizontal="right" vertical="center"/>
    </x:xf>
    <x:xf numFmtId="200" fontId="1" fillId="0" borderId="23" xfId="0" applyNumberFormat="1" applyFont="1" applyFill="1" applyBorder="1" applyAlignment="1">
      <x:alignment horizontal="right" vertical="center"/>
    </x:xf>
    <x:xf numFmtId="0" fontId="1" fillId="0" borderId="24" xfId="0" applyNumberFormat="1" applyFont="1" applyFill="1" applyBorder="1" applyAlignment="1">
      <x:alignment vertical="center"/>
    </x:xf>
    <x:xf numFmtId="0" fontId="6" fillId="3" borderId="23" xfId="0" applyNumberFormat="1" applyFont="1" applyFill="1" applyBorder="1" applyAlignment="1">
      <x:alignment vertical="center"/>
    </x:xf>
    <x:xf numFmtId="203" fontId="6" fillId="3" borderId="23" xfId="0" applyNumberFormat="1" applyFont="1" applyFill="1" applyBorder="1" applyAlignment="1">
      <x:alignment horizontal="right" vertical="center"/>
    </x:xf>
    <x:xf numFmtId="200" fontId="6" fillId="3" borderId="23" xfId="0" applyNumberFormat="1" applyFont="1" applyFill="1" applyBorder="1" applyAlignment="1">
      <x:alignment horizontal="right" vertical="center"/>
    </x:xf>
    <x:xf numFmtId="0" fontId="6" fillId="3" borderId="24" xfId="0" applyNumberFormat="1" applyFont="1" applyFill="1" applyBorder="1" applyAlignment="1">
      <x:alignment vertical="center"/>
    </x:xf>
    <x:xf numFmtId="0" fontId="6" fillId="3" borderId="23" xfId="0" applyNumberFormat="1" applyFont="1" applyFill="1" applyBorder="1" applyAlignment="1">
      <x:alignment horizontal="right" vertical="center"/>
    </x:xf>
    <x:xf numFmtId="0" fontId="1" fillId="0" borderId="23" xfId="0" applyNumberFormat="1" applyFont="1" applyFill="1" applyBorder="1" applyAlignment="1">
      <x:alignment horizontal="right" vertical="center"/>
    </x:xf>
    <x:xf numFmtId="0" fontId="9" fillId="2" borderId="23" xfId="0" applyNumberFormat="1" applyFont="1" applyFill="1" applyBorder="1" applyAlignment="1">
      <x:alignment vertical="center"/>
    </x:xf>
    <x:xf numFmtId="0" fontId="9" fillId="2" borderId="23" xfId="0" applyNumberFormat="1" applyFont="1" applyFill="1" applyBorder="1" applyAlignment="1">
      <x:alignment horizontal="right" vertical="center"/>
    </x:xf>
    <x:xf numFmtId="200" fontId="9" fillId="2" borderId="25" xfId="0" applyNumberFormat="1" applyFont="1" applyFill="1" applyBorder="1" applyAlignment="1">
      <x:alignment horizontal="right" vertical="center"/>
    </x:xf>
    <x:xf numFmtId="0" fontId="8" fillId="4" borderId="23" xfId="0" applyNumberFormat="1" applyFont="1" applyFill="1" applyBorder="1" applyAlignment="1">
      <x:alignment vertical="center"/>
    </x:xf>
    <x:xf numFmtId="0" fontId="8" fillId="4" borderId="23" xfId="0" applyNumberFormat="1" applyFont="1" applyFill="1" applyBorder="1" applyAlignment="1">
      <x:alignment horizontal="right" vertical="center"/>
    </x:xf>
    <x:xf numFmtId="200" fontId="8" fillId="4" borderId="25" xfId="0" applyNumberFormat="1" applyFont="1" applyFill="1" applyBorder="1" applyAlignment="1">
      <x:alignment horizontal="right" vertical="center"/>
    </x:xf>
    <x:xf numFmtId="0" fontId="8" fillId="4" borderId="26" xfId="0" applyNumberFormat="1" applyFont="1" applyFill="1" applyBorder="1" applyAlignment="1">
      <x:alignment vertical="center"/>
    </x:xf>
    <x:xf numFmtId="0" fontId="8" fillId="4" borderId="27" xfId="0" applyNumberFormat="1" applyFont="1" applyFill="1" applyBorder="1" applyAlignment="1">
      <x:alignment vertical="center"/>
    </x:xf>
    <x:xf numFmtId="0" fontId="1" fillId="0" borderId="26" xfId="0" applyNumberFormat="1" applyFont="1" applyFill="1" applyBorder="1" applyAlignment="1">
      <x:alignment vertical="center"/>
    </x:xf>
    <x:xf numFmtId="0" fontId="1" fillId="0" borderId="28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 wrapText="1"/>
    </x:xf>
    <x:xf numFmtId="203" fontId="1" fillId="0" borderId="23" xfId="0" applyNumberFormat="1" applyFont="1" applyFill="1" applyBorder="1" applyAlignment="1">
      <x:alignment horizontal="right" vertical="center" wrapText="1"/>
    </x:xf>
    <x:xf numFmtId="200" fontId="1" fillId="0" borderId="23" xfId="0" applyNumberFormat="1" applyFont="1" applyFill="1" applyBorder="1" applyAlignment="1">
      <x:alignment horizontal="right" vertical="center" wrapText="1"/>
    </x:xf>
    <x:xf numFmtId="0" fontId="1" fillId="0" borderId="24" xfId="0" applyNumberFormat="1" applyFont="1" applyFill="1" applyBorder="1" applyAlignment="1">
      <x:alignment vertical="center" wrapText="1"/>
    </x:xf>
    <x:xf numFmtId="0" fontId="6" fillId="3" borderId="23" xfId="0" applyNumberFormat="1" applyFont="1" applyFill="1" applyBorder="1" applyAlignment="1">
      <x:alignment vertical="center" wrapText="1"/>
    </x:xf>
    <x:xf numFmtId="203" fontId="6" fillId="3" borderId="23" xfId="0" applyNumberFormat="1" applyFont="1" applyFill="1" applyBorder="1" applyAlignment="1">
      <x:alignment horizontal="right" vertical="center" wrapText="1"/>
    </x:xf>
    <x:xf numFmtId="200" fontId="6" fillId="3" borderId="23" xfId="0" applyNumberFormat="1" applyFont="1" applyFill="1" applyBorder="1" applyAlignment="1">
      <x:alignment horizontal="right" vertical="center" wrapText="1"/>
    </x:xf>
    <x:xf numFmtId="0" fontId="6" fillId="3" borderId="24" xfId="0" applyNumberFormat="1" applyFont="1" applyFill="1" applyBorder="1" applyAlignment="1">
      <x:alignment vertical="center" wrapText="1"/>
    </x:xf>
    <x:xf numFmtId="0" fontId="6" fillId="3" borderId="23" xfId="0" applyNumberFormat="1" applyFont="1" applyFill="1" applyBorder="1" applyAlignment="1">
      <x:alignment horizontal="right" vertical="center" wrapText="1"/>
    </x:xf>
    <x:xf numFmtId="0" fontId="1" fillId="0" borderId="23" xfId="0" applyNumberFormat="1" applyFont="1" applyFill="1" applyBorder="1" applyAlignment="1">
      <x:alignment horizontal="right" vertical="center" wrapText="1"/>
    </x:xf>
    <x:xf numFmtId="0" fontId="9" fillId="2" borderId="23" xfId="0" applyNumberFormat="1" applyFont="1" applyFill="1" applyBorder="1" applyAlignment="1">
      <x:alignment vertical="center" wrapText="1"/>
    </x:xf>
    <x:xf numFmtId="0" fontId="9" fillId="2" borderId="23" xfId="0" applyNumberFormat="1" applyFont="1" applyFill="1" applyBorder="1" applyAlignment="1">
      <x:alignment horizontal="right" vertical="center" wrapText="1"/>
    </x:xf>
    <x:xf numFmtId="200" fontId="9" fillId="2" borderId="25" xfId="0" applyNumberFormat="1" applyFont="1" applyFill="1" applyBorder="1" applyAlignment="1">
      <x:alignment horizontal="right" vertical="center" wrapText="1"/>
    </x:xf>
    <x:xf numFmtId="0" fontId="8" fillId="4" borderId="23" xfId="0" applyNumberFormat="1" applyFont="1" applyFill="1" applyBorder="1" applyAlignment="1">
      <x:alignment vertical="center" wrapText="1"/>
    </x:xf>
    <x:xf numFmtId="0" fontId="8" fillId="4" borderId="23" xfId="0" applyNumberFormat="1" applyFont="1" applyFill="1" applyBorder="1" applyAlignment="1">
      <x:alignment horizontal="right" vertical="center" wrapText="1"/>
    </x:xf>
    <x:xf numFmtId="200" fontId="8" fillId="4" borderId="25" xfId="0" applyNumberFormat="1" applyFont="1" applyFill="1" applyBorder="1" applyAlignment="1">
      <x:alignment horizontal="right" vertical="center" wrapText="1"/>
    </x:xf>
    <x:xf numFmtId="0" fontId="8" fillId="4" borderId="26" xfId="0" applyNumberFormat="1" applyFont="1" applyFill="1" applyBorder="1" applyAlignment="1">
      <x:alignment vertical="center" wrapText="1"/>
    </x:xf>
    <x:xf numFmtId="0" fontId="8" fillId="4" borderId="27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9" xfId="0" applyNumberFormat="1" applyFont="1" applyFill="1" applyBorder="1" applyAlignment="1">
      <x:alignment vertical="center"/>
    </x:xf>
    <x:xf numFmtId="0" fontId="11" fillId="0" borderId="29" xfId="0" applyNumberFormat="1" applyFont="1" applyFill="1" applyBorder="1" applyAlignment="1">
      <x:alignment vertical="center"/>
    </x:xf>
    <x:xf numFmtId="0" fontId="11" fillId="0" borderId="23" xfId="0" applyNumberFormat="1" applyFont="1" applyFill="1" applyBorder="1" applyAlignment="1">
      <x:alignment vertical="center"/>
    </x:xf>
    <x:xf numFmtId="0" fontId="11" fillId="0" borderId="26" xfId="0" applyNumberFormat="1" applyFont="1" applyFill="1" applyBorder="1" applyAlignment="1">
      <x:alignment vertical="center"/>
    </x:xf>
    <x:xf numFmtId="0" fontId="11" fillId="6" borderId="29" xfId="0" applyNumberFormat="1" applyFont="1" applyFill="1" applyBorder="1" applyAlignment="1">
      <x:alignment vertical="center"/>
    </x:xf>
    <x:xf numFmtId="0" fontId="11" fillId="6" borderId="23" xfId="0" applyNumberFormat="1" applyFont="1" applyFill="1" applyBorder="1" applyAlignment="1">
      <x:alignment vertical="center"/>
    </x:xf>
    <x:xf numFmtId="0" fontId="11" fillId="6" borderId="26" xfId="0" applyNumberFormat="1" applyFont="1" applyFill="1" applyBorder="1" applyAlignment="1">
      <x:alignment vertical="center"/>
    </x:xf>
    <x:xf numFmtId="202" fontId="11" fillId="6" borderId="29" xfId="0" applyNumberFormat="1" applyFont="1" applyFill="1" applyBorder="1" applyAlignment="1">
      <x:alignment vertical="center"/>
    </x:xf>
    <x:xf numFmtId="201" fontId="11" fillId="6" borderId="23" xfId="0" applyNumberFormat="1" applyFont="1" applyFill="1" applyBorder="1" applyAlignment="1">
      <x:alignment vertical="center"/>
    </x:xf>
    <x:xf numFmtId="202" fontId="11" fillId="6" borderId="23" xfId="0" applyNumberFormat="1" applyFont="1" applyFill="1" applyBorder="1" applyAlignment="1">
      <x:alignment vertical="center"/>
    </x:xf>
    <x:xf numFmtId="202" fontId="11" fillId="6" borderId="26" xfId="0" applyNumberFormat="1" applyFont="1" applyFill="1" applyBorder="1" applyAlignment="1">
      <x:alignment vertical="center"/>
    </x:xf>
    <x:xf numFmtId="202" fontId="1" fillId="0" borderId="29" xfId="0" applyNumberFormat="1" applyFont="1" applyFill="1" applyBorder="1" applyAlignment="1">
      <x:alignment vertical="center"/>
    </x:xf>
    <x:xf numFmtId="202" fontId="1" fillId="0" borderId="23" xfId="0" applyNumberFormat="1" applyFont="1" applyFill="1" applyBorder="1" applyAlignment="1">
      <x:alignment vertical="center"/>
    </x:xf>
    <x:xf numFmtId="202" fontId="1" fillId="0" borderId="26" xfId="0" applyNumberFormat="1" applyFont="1" applyFill="1" applyBorder="1" applyAlignment="1">
      <x:alignment vertical="center"/>
    </x:xf>
    <x:xf numFmtId="204" fontId="1" fillId="0" borderId="29" xfId="0" applyNumberFormat="1" applyFont="1" applyFill="1" applyBorder="1" applyAlignment="1">
      <x:alignment vertical="center"/>
    </x:xf>
    <x:xf numFmtId="204" fontId="1" fillId="0" borderId="23" xfId="0" applyNumberFormat="1" applyFont="1" applyFill="1" applyBorder="1" applyAlignment="1">
      <x:alignment vertical="center"/>
    </x:xf>
    <x:xf numFmtId="204" fontId="1" fillId="0" borderId="26" xfId="0" applyNumberFormat="1" applyFont="1" applyFill="1" applyBorder="1" applyAlignment="1">
      <x:alignment vertical="center"/>
    </x:xf>
    <x:xf numFmtId="0" fontId="1" fillId="0" borderId="29" xfId="0" applyNumberFormat="1" applyFont="1" applyFill="1" applyBorder="1" applyAlignment="1">
      <x:alignment vertical="center" wrapText="1"/>
    </x:xf>
    <x:xf numFmtId="202" fontId="11" fillId="6" borderId="29" xfId="0" applyNumberFormat="1" applyFont="1" applyFill="1" applyBorder="1" applyAlignment="1">
      <x:alignment vertical="center" wrapText="1"/>
    </x:xf>
    <x:xf numFmtId="204" fontId="1" fillId="0" borderId="29" xfId="0" applyNumberFormat="1" applyFont="1" applyFill="1" applyBorder="1" applyAlignment="1">
      <x:alignment vertical="center" wrapText="1"/>
    </x:xf>
    <x:xf numFmtId="201" fontId="11" fillId="6" borderId="23" xfId="0" applyNumberFormat="1" applyFont="1" applyFill="1" applyBorder="1" applyAlignment="1">
      <x:alignment vertical="center" wrapText="1"/>
    </x:xf>
    <x:xf numFmtId="204" fontId="1" fillId="0" borderId="23" xfId="0" applyNumberFormat="1" applyFont="1" applyFill="1" applyBorder="1" applyAlignment="1">
      <x:alignment vertical="center" wrapText="1"/>
    </x:xf>
    <x:xf numFmtId="202" fontId="11" fillId="6" borderId="23" xfId="0" applyNumberFormat="1" applyFont="1" applyFill="1" applyBorder="1" applyAlignment="1">
      <x:alignment vertical="center" wrapText="1"/>
    </x:xf>
    <x:xf numFmtId="202" fontId="11" fillId="6" borderId="26" xfId="0" applyNumberFormat="1" applyFont="1" applyFill="1" applyBorder="1" applyAlignment="1">
      <x:alignment vertical="center" wrapText="1"/>
    </x:xf>
    <x:xf numFmtId="204" fontId="1" fillId="0" borderId="26" xfId="0" applyNumberFormat="1" applyFont="1" applyFill="1" applyBorder="1" applyAlignment="1">
      <x:alignment vertical="center" wrapText="1"/>
    </x:xf>
    <x:xf numFmtId="202" fontId="1" fillId="0" borderId="29" xfId="0" applyNumberFormat="1" applyFont="1" applyFill="1" applyBorder="1" applyAlignment="1">
      <x:alignment vertical="center" wrapText="1"/>
    </x:xf>
    <x:xf numFmtId="202" fontId="1" fillId="0" borderId="23" xfId="0" applyNumberFormat="1" applyFont="1" applyFill="1" applyBorder="1" applyAlignment="1">
      <x:alignment vertical="center" wrapText="1"/>
    </x:xf>
    <x:xf numFmtId="202" fontId="1" fillId="0" borderId="26" xfId="0" applyNumberFormat="1" applyFont="1" applyFill="1" applyBorder="1" applyAlignment="1">
      <x:alignment vertical="center" wrapText="1"/>
    </x:xf>
    <x:xf numFmtId="0" fontId="12" fillId="0" borderId="29" xfId="0" applyNumberFormat="1" applyFont="1" applyFill="1" applyBorder="1" applyAlignment="1">
      <x:alignment vertical="center" wrapText="1"/>
    </x:xf>
    <x:xf numFmtId="0" fontId="12" fillId="0" borderId="23" xfId="0" applyNumberFormat="1" applyFont="1" applyFill="1" applyBorder="1" applyAlignment="1">
      <x:alignment vertical="center" wrapText="1"/>
    </x:xf>
    <x:xf numFmtId="0" fontId="12" fillId="0" borderId="2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0c42d5b734103" /><Relationship Type="http://schemas.openxmlformats.org/officeDocument/2006/relationships/theme" Target="/xl/theme/theme1.xml" Id="R963759702eb7493c" /><Relationship Type="http://schemas.openxmlformats.org/officeDocument/2006/relationships/sharedStrings" Target="/xl/sharedStrings.xml" Id="R5b1e30b78469400d" /><Relationship Type="http://schemas.openxmlformats.org/officeDocument/2006/relationships/worksheet" Target="/xl/worksheets/sheet1.xml" Id="R7c95bbe169824b46" /><Relationship Type="http://schemas.openxmlformats.org/officeDocument/2006/relationships/worksheet" Target="/xl/worksheets/sheet2.xml" Id="R94492d5294c34c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9" hidden="0" customWidth="1"/>
    <x:col min="2" max="2" width="27" hidden="0" customWidth="1"/>
    <x:col min="3" max="3" width="58" hidden="0" customWidth="1"/>
    <x:col min="4" max="4" width="8" hidden="0" customWidth="1"/>
    <x:col min="5" max="5" width="16" hidden="0" customWidth="1"/>
    <x:col min="6" max="6" width="16" hidden="0" customWidth="1"/>
    <x:col min="7" max="7" width="23" hidden="0" customWidth="1"/>
    <x:col min="8" max="8" width="22" hidden="0" customWidth="1"/>
  </x:cols>
  <x:sheetData>
    <x:row r="2" ht="26" customHeight="1">
      <x:c r="A2" s="3" t="str">
        <x:v>Presupuesto de infraestructura GUTT_SYSTEM + GUTT_MOVIL</x:v>
      </x:c>
      <x:c r="B2" s="3"/>
      <x:c r="C2" s="3"/>
      <x:c r="D2" s="3"/>
      <x:c r="E2" s="3"/>
      <x:c r="F2" s="3"/>
      <x:c r="G2" s="3"/>
      <x:c r="H2" s="3"/>
    </x:row>
    <x:row r="3" ht="20" customHeight="1">
      <x:c r="A3" s="4" t="str">
        <x:v>Escenario de inversión inicial en Ecuador. Valores en USD. Fecha base: 10-sep-2026.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7" t="str">
        <x:v>TOTAL ESTIMADO</x:v>
      </x:c>
      <x:c r="B5" s="7"/>
      <x:c r="C5" s="7" t="str">
        <x:v>TOPE</x:v>
      </x:c>
      <x:c r="D5" s="7"/>
      <x:c r="E5" s="7" t="str">
        <x:v>MARGEN</x:v>
      </x:c>
      <x:c r="F5" s="7"/>
      <x:c r="G5" s="7" t="str">
        <x:v>SERVIDOR / TOTAL</x:v>
      </x:c>
      <x:c r="H5" s="7"/>
    </x:row>
    <x:row r="6">
      <x:c r="A6" s="14" t="n">
        <x:f>F33</x:f>
        <x:v>19398.05</x:v>
      </x:c>
      <x:c r="B6" s="13"/>
      <x:c r="C6" s="14" t="n">
        <x:f>F34</x:f>
        <x:v>20000</x:v>
      </x:c>
      <x:c r="D6" s="13"/>
      <x:c r="E6" s="14" t="n">
        <x:f>F35</x:f>
        <x:v>601.9500000000007</x:v>
      </x:c>
      <x:c r="F6" s="13"/>
      <x:c r="G6" s="15" t="n">
        <x:f>F18/F33</x:f>
        <x:v>0.773033887426829</x:v>
      </x:c>
      <x:c r="H6" s="13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18" t="str">
        <x:v>Resultado</x:v>
      </x:c>
      <x:c r="B8" s="19"/>
      <x:c r="C8" s="19"/>
      <x:c r="D8" s="19"/>
      <x:c r="E8" s="19"/>
      <x:c r="F8" s="19"/>
      <x:c r="G8" s="19"/>
      <x:c r="H8" s="20"/>
    </x:row>
    <x:row r="9">
      <x:c r="A9" s="26" t="str">
        <x:f>F36</x:f>
        <x:v>DENTRO DEL TOPE</x:v>
      </x:c>
      <x:c r="B9" s="27"/>
      <x:c r="C9" s="27"/>
      <x:c r="D9" s="27"/>
      <x:c r="E9" s="27"/>
      <x:c r="F9" s="27"/>
      <x:c r="G9" s="27"/>
      <x:c r="H9" s="28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74" t="str">
        <x:v>Rubro</x:v>
      </x:c>
      <x:c r="B11" s="75" t="str">
        <x:v>Concepto</x:v>
      </x:c>
      <x:c r="C11" s="75" t="str">
        <x:v>Especificación / alcance</x:v>
      </x:c>
      <x:c r="D11" s="75" t="str">
        <x:v>Cant.</x:v>
      </x:c>
      <x:c r="E11" s="75" t="str">
        <x:v>Precio unitario</x:v>
      </x:c>
      <x:c r="F11" s="75" t="str">
        <x:v>Subtotal</x:v>
      </x:c>
      <x:c r="G11" s="75" t="str">
        <x:v>Base del valor</x:v>
      </x:c>
      <x:c r="H11" s="75" t="str">
        <x:v>Proveedor / fuente</x:v>
      </x:c>
    </x:row>
    <x:row r="12" ht="44" customHeight="1">
      <x:c r="A12" s="96" t="str">
        <x:v>Servidor</x:v>
      </x:c>
      <x:c r="B12" s="96" t="str">
        <x:v>Dell PowerEdge R360</x:v>
      </x:c>
      <x:c r="C12" s="96" t="str">
        <x:v>E-2488, 64 GB ECC, PERC H755, 2x960 GB SSD RAID 1, 2x1,92 TB SSD RAID 1, 10GbE, doble PSU, iDRAC, rieles y garantía; sin GPU ni software</x:v>
      </x:c>
      <x:c r="D12" s="97" t="n">
        <x:v>1</x:v>
      </x:c>
      <x:c r="E12" s="98" t="n">
        <x:f>'Fuentes'!B9</x:f>
        <x:v>11540</x:v>
      </x:c>
      <x:c r="F12" s="98" t="n">
        <x:f>D12*E12</x:f>
        <x:v>11540</x:v>
      </x:c>
      <x:c r="G12" s="96" t="str">
        <x:v>Tope FOB a negociar</x:v>
      </x:c>
      <x:c r="H12" s="99" t="str">
        <x:v>Dell / NewServerLife</x:v>
      </x:c>
    </x:row>
    <x:row r="13" ht="44" customHeight="1">
      <x:c r="A13" s="96" t="str">
        <x:v>Servidor</x:v>
      </x:c>
      <x:c r="B13" s="96" t="str">
        <x:v>Flete y seguro</x:v>
      </x:c>
      <x:c r="C13" s="96" t="str">
        <x:v>Transporte Miami-Ecuador y seguro de carga</x:v>
      </x:c>
      <x:c r="D13" s="97" t="n">
        <x:v>1</x:v>
      </x:c>
      <x:c r="E13" s="98" t="n">
        <x:f>'Fuentes'!B7</x:f>
        <x:v>520</x:v>
      </x:c>
      <x:c r="F13" s="98" t="n">
        <x:f>D13*E13</x:f>
        <x:v>520</x:v>
      </x:c>
      <x:c r="G13" s="96" t="str">
        <x:v>Reserva</x:v>
      </x:c>
      <x:c r="H13" s="99" t="str">
        <x:v>Agente de carga</x:v>
      </x:c>
    </x:row>
    <x:row r="14" ht="44" customHeight="1">
      <x:c r="A14" s="96" t="str">
        <x:v>Servidor</x:v>
      </x:c>
      <x:c r="B14" s="96" t="str">
        <x:v>FODINFA</x:v>
      </x:c>
      <x:c r="C14" s="96" t="str">
        <x:v>0,5% aplicado sobre valor CIF estimado</x:v>
      </x:c>
      <x:c r="D14" s="97" t="n">
        <x:v>1</x:v>
      </x:c>
      <x:c r="E14" s="98" t="n">
        <x:f>ROUND((F12+F13)*'Fuentes'!B4,2)</x:f>
        <x:v>60.3</x:v>
      </x:c>
      <x:c r="F14" s="98" t="n">
        <x:f>E14</x:f>
        <x:v>60.3</x:v>
      </x:c>
      <x:c r="G14" s="96" t="str">
        <x:v>Fórmula</x:v>
      </x:c>
      <x:c r="H14" s="99" t="str">
        <x:v>SENAE</x:v>
      </x:c>
    </x:row>
    <x:row r="15" ht="44" customHeight="1">
      <x:c r="A15" s="96" t="str">
        <x:v>Servidor</x:v>
      </x:c>
      <x:c r="B15" s="96" t="str">
        <x:v>ISD</x:v>
      </x:c>
      <x:c r="C15" s="96" t="str">
        <x:v>5% sobre el pago al exterior</x:v>
      </x:c>
      <x:c r="D15" s="97" t="n">
        <x:v>1</x:v>
      </x:c>
      <x:c r="E15" s="98" t="n">
        <x:f>F12*'Fuentes'!B5</x:f>
        <x:v>577</x:v>
      </x:c>
      <x:c r="F15" s="98" t="n">
        <x:f>E15</x:f>
        <x:v>577</x:v>
      </x:c>
      <x:c r="G15" s="96" t="str">
        <x:v>Fórmula</x:v>
      </x:c>
      <x:c r="H15" s="99" t="str">
        <x:v>SRI</x:v>
      </x:c>
    </x:row>
    <x:row r="16" ht="44" customHeight="1">
      <x:c r="A16" s="96" t="str">
        <x:v>Servidor</x:v>
      </x:c>
      <x:c r="B16" s="96" t="str">
        <x:v>Agente y manejo aduanero</x:v>
      </x:c>
      <x:c r="C16" s="96" t="str">
        <x:v>Trámite, aforo y manejo ordinario</x:v>
      </x:c>
      <x:c r="D16" s="97" t="n">
        <x:v>1</x:v>
      </x:c>
      <x:c r="E16" s="98" t="n">
        <x:f>'Fuentes'!B8</x:f>
        <x:v>480</x:v>
      </x:c>
      <x:c r="F16" s="98" t="n">
        <x:f>D16*E16</x:f>
        <x:v>480</x:v>
      </x:c>
      <x:c r="G16" s="96" t="str">
        <x:v>Reserva</x:v>
      </x:c>
      <x:c r="H16" s="99" t="str">
        <x:v>Agente de aduana</x:v>
      </x:c>
    </x:row>
    <x:row r="17" ht="44" customHeight="1">
      <x:c r="A17" s="96" t="str">
        <x:v>Servidor</x:v>
      </x:c>
      <x:c r="B17" s="96" t="str">
        <x:v>IVA de importación</x:v>
      </x:c>
      <x:c r="C17" s="96" t="str">
        <x:v>15% sobre CIF + FODINFA, escenario conservador</x:v>
      </x:c>
      <x:c r="D17" s="97" t="n">
        <x:v>1</x:v>
      </x:c>
      <x:c r="E17" s="98" t="n">
        <x:f>ROUND((F12+F13+F14)*'Fuentes'!B6+0.000001,2)</x:f>
        <x:v>1818.05</x:v>
      </x:c>
      <x:c r="F17" s="98" t="n">
        <x:f>E17</x:f>
        <x:v>1818.05</x:v>
      </x:c>
      <x:c r="G17" s="96" t="str">
        <x:v>Fórmula</x:v>
      </x:c>
      <x:c r="H17" s="99" t="str">
        <x:v>SENAE</x:v>
      </x:c>
    </x:row>
    <x:row r="18">
      <x:c r="A18" s="100" t="str">
        <x:v>Subtotal servidor puesto en Ecuador</x:v>
      </x:c>
      <x:c r="B18" s="100"/>
      <x:c r="C18" s="100"/>
      <x:c r="D18" s="101"/>
      <x:c r="E18" s="102"/>
      <x:c r="F18" s="102" t="n">
        <x:f>SUM(F12:F17)</x:f>
        <x:v>14995.349999999999</x:v>
      </x:c>
      <x:c r="G18" s="100"/>
      <x:c r="H18" s="103"/>
    </x:row>
    <x:row r="19">
      <x:c r="A19" s="96"/>
      <x:c r="B19" s="96"/>
      <x:c r="C19" s="96"/>
      <x:c r="D19" s="97"/>
      <x:c r="E19" s="98"/>
      <x:c r="F19" s="98"/>
      <x:c r="G19" s="96"/>
      <x:c r="H19" s="99"/>
    </x:row>
    <x:row r="20" ht="34" customHeight="1">
      <x:c r="A20" s="96" t="str">
        <x:v>Infraestructura</x:v>
      </x:c>
      <x:c r="B20" s="96" t="str">
        <x:v>Router MikroTik RB4011</x:v>
      </x:c>
      <x:c r="C20" s="96" t="str">
        <x:v>Router/firewall físico para WAN, VPN y segmentación</x:v>
      </x:c>
      <x:c r="D20" s="97" t="n">
        <x:v>1</x:v>
      </x:c>
      <x:c r="E20" s="98" t="n">
        <x:v>458.85</x:v>
      </x:c>
      <x:c r="F20" s="98" t="n">
        <x:f>D20*E20</x:f>
        <x:v>458.85</x:v>
      </x:c>
      <x:c r="G20" s="96" t="str">
        <x:v>Precio histórico + IVA</x:v>
      </x:c>
      <x:c r="H20" s="99" t="str">
        <x:v>Proforma ECLOF</x:v>
      </x:c>
    </x:row>
    <x:row r="21" ht="34" customHeight="1">
      <x:c r="A21" s="96" t="str">
        <x:v>Infraestructura</x:v>
      </x:c>
      <x:c r="B21" s="96" t="str">
        <x:v>Switch TP-Link TL-SG3428XMP</x:v>
      </x:c>
      <x:c r="C21" s="96" t="str">
        <x:v>24 puertos Gigabit PoE+ y 4 SFP+ 10Gb, administrable</x:v>
      </x:c>
      <x:c r="D21" s="97" t="n">
        <x:v>1</x:v>
      </x:c>
      <x:c r="E21" s="98" t="n">
        <x:v>460.69</x:v>
      </x:c>
      <x:c r="F21" s="98" t="n">
        <x:f>D21*E21</x:f>
        <x:v>460.69</x:v>
      </x:c>
      <x:c r="G21" s="96" t="str">
        <x:v>Precio web con IVA</x:v>
      </x:c>
      <x:c r="H21" s="99" t="str">
        <x:v>IDC Mayoristas</x:v>
      </x:c>
    </x:row>
    <x:row r="22" ht="34" customHeight="1">
      <x:c r="A22" s="96" t="str">
        <x:v>Infraestructura</x:v>
      </x:c>
      <x:c r="B22" s="96" t="str">
        <x:v>UPS online CDP 3000VA</x:v>
      </x:c>
      <x:c r="C22" s="96" t="str">
        <x:v>Doble conversión, 2700W, formato rack/torre</x:v>
      </x:c>
      <x:c r="D22" s="97" t="n">
        <x:v>1</x:v>
      </x:c>
      <x:c r="E22" s="98" t="n">
        <x:v>301.97</x:v>
      </x:c>
      <x:c r="F22" s="98" t="n">
        <x:f>D22*E22</x:f>
        <x:v>301.97</x:v>
      </x:c>
      <x:c r="G22" s="96" t="str">
        <x:v>Último precio visible con IVA</x:v>
      </x:c>
      <x:c r="H22" s="99" t="str">
        <x:v>IDC Mayoristas</x:v>
      </x:c>
    </x:row>
    <x:row r="23" ht="34" customHeight="1">
      <x:c r="A23" s="96" t="str">
        <x:v>Infraestructura</x:v>
      </x:c>
      <x:c r="B23" s="96" t="str">
        <x:v>Rack de piso compatible</x:v>
      </x:c>
      <x:c r="C23" s="96" t="str">
        <x:v>Mínimo 12U y 800 mm de profundidad útil, ventilado</x:v>
      </x:c>
      <x:c r="D23" s="97" t="n">
        <x:v>1</x:v>
      </x:c>
      <x:c r="E23" s="98" t="n">
        <x:v>450</x:v>
      </x:c>
      <x:c r="F23" s="98" t="n">
        <x:f>D23*E23</x:f>
        <x:v>450</x:v>
      </x:c>
      <x:c r="G23" s="96" t="str">
        <x:v>Reserva local</x:v>
      </x:c>
      <x:c r="H23" s="99" t="str">
        <x:v>Cotización pendiente</x:v>
      </x:c>
    </x:row>
    <x:row r="24" ht="34" customHeight="1">
      <x:c r="A24" s="96" t="str">
        <x:v>Infraestructura</x:v>
      </x:c>
      <x:c r="B24" s="96" t="str">
        <x:v>Patch panel Cat6 24 puertos</x:v>
      </x:c>
      <x:c r="C24" s="96" t="str">
        <x:v>Terminación y ordenamiento de red</x:v>
      </x:c>
      <x:c r="D24" s="97" t="n">
        <x:v>1</x:v>
      </x:c>
      <x:c r="E24" s="98" t="n">
        <x:v>69.63</x:v>
      </x:c>
      <x:c r="F24" s="98" t="n">
        <x:f>D24*E24</x:f>
        <x:v>69.63</x:v>
      </x:c>
      <x:c r="G24" s="96" t="str">
        <x:v>Precio web con IVA</x:v>
      </x:c>
      <x:c r="H24" s="99" t="str">
        <x:v>IDC Mayoristas</x:v>
      </x:c>
    </x:row>
    <x:row r="25" ht="34" customHeight="1">
      <x:c r="A25" s="96" t="str">
        <x:v>Infraestructura</x:v>
      </x:c>
      <x:c r="B25" s="96" t="str">
        <x:v>NAS Synology DS223j</x:v>
      </x:c>
      <x:c r="C25" s="96" t="str">
        <x:v>Chasis de respaldo de 2 bahías</x:v>
      </x:c>
      <x:c r="D25" s="97" t="n">
        <x:v>1</x:v>
      </x:c>
      <x:c r="E25" s="98" t="n">
        <x:v>305.5</x:v>
      </x:c>
      <x:c r="F25" s="98" t="n">
        <x:f>D25*E25</x:f>
        <x:v>305.5</x:v>
      </x:c>
      <x:c r="G25" s="96" t="str">
        <x:v>Precio histórico + IVA</x:v>
      </x:c>
      <x:c r="H25" s="99" t="str">
        <x:v>Proforma ECLOF</x:v>
      </x:c>
    </x:row>
    <x:row r="26" ht="34" customHeight="1">
      <x:c r="A26" s="96" t="str">
        <x:v>Infraestructura</x:v>
      </x:c>
      <x:c r="B26" s="96" t="str">
        <x:v>WD Red Pro NAS 8 TB</x:v>
      </x:c>
      <x:c r="C26" s="96" t="str">
        <x:v>Dos discos en RAID 1 para respaldos locales</x:v>
      </x:c>
      <x:c r="D26" s="97" t="n">
        <x:v>2</x:v>
      </x:c>
      <x:c r="E26" s="98" t="n">
        <x:v>388.03</x:v>
      </x:c>
      <x:c r="F26" s="98" t="n">
        <x:f>D26*E26</x:f>
        <x:v>776.06</x:v>
      </x:c>
      <x:c r="G26" s="96" t="str">
        <x:v>Precio web con IVA</x:v>
      </x:c>
      <x:c r="H26" s="99" t="str">
        <x:v>IDC Mayoristas</x:v>
      </x:c>
    </x:row>
    <x:row r="27" ht="34" customHeight="1">
      <x:c r="A27" s="96" t="str">
        <x:v>Infraestructura</x:v>
      </x:c>
      <x:c r="B27" s="96" t="str">
        <x:v>PDU, patch cords y consumibles</x:v>
      </x:c>
      <x:c r="C27" s="96" t="str">
        <x:v>Alimentación y conexión dentro del rack</x:v>
      </x:c>
      <x:c r="D27" s="97" t="n">
        <x:v>1</x:v>
      </x:c>
      <x:c r="E27" s="98" t="n">
        <x:v>180</x:v>
      </x:c>
      <x:c r="F27" s="98" t="n">
        <x:f>D27*E27</x:f>
        <x:v>180</x:v>
      </x:c>
      <x:c r="G27" s="96" t="str">
        <x:v>Reserva local</x:v>
      </x:c>
      <x:c r="H27" s="99" t="str">
        <x:v>Cotización pendiente</x:v>
      </x:c>
    </x:row>
    <x:row r="28">
      <x:c r="A28" s="100" t="str">
        <x:v>Subtotal infraestructura</x:v>
      </x:c>
      <x:c r="B28" s="100"/>
      <x:c r="C28" s="100"/>
      <x:c r="D28" s="101"/>
      <x:c r="E28" s="102"/>
      <x:c r="F28" s="102" t="n">
        <x:f>SUM(F20:F27)</x:f>
        <x:v>3002.7</x:v>
      </x:c>
      <x:c r="G28" s="100"/>
      <x:c r="H28" s="103"/>
    </x:row>
    <x:row r="29">
      <x:c r="A29" s="96"/>
      <x:c r="B29" s="96"/>
      <x:c r="C29" s="96"/>
      <x:c r="D29" s="97"/>
      <x:c r="E29" s="98"/>
      <x:c r="F29" s="98"/>
      <x:c r="G29" s="96"/>
      <x:c r="H29" s="99"/>
    </x:row>
    <x:row r="30" ht="40" customHeight="1">
      <x:c r="A30" s="96" t="str">
        <x:v>Servicios</x:v>
      </x:c>
      <x:c r="B30" s="96" t="str">
        <x:v>Primer mes de dos programadores virtuales</x:v>
      </x:c>
      <x:c r="C30" s="96" t="str">
        <x:v>Instalación, hardening, despliegue, CI/CD, respaldos, monitoreo, pruebas y entrega técnica. USD 700 mensuales por persona</x:v>
      </x:c>
      <x:c r="D30" s="97" t="n">
        <x:v>2</x:v>
      </x:c>
      <x:c r="E30" s="98" t="n">
        <x:f>'Fuentes'!B10</x:f>
        <x:v>700</x:v>
      </x:c>
      <x:c r="F30" s="98" t="n">
        <x:f>D30*E30</x:f>
        <x:v>1400</x:v>
      </x:c>
      <x:c r="G30" s="96" t="str">
        <x:v>Honorario mensual</x:v>
      </x:c>
      <x:c r="H30" s="99" t="str">
        <x:v>Equipo GUTT</x:v>
      </x:c>
    </x:row>
    <x:row r="31">
      <x:c r="A31" s="100" t="str">
        <x:v>Subtotal servicios profesionales</x:v>
      </x:c>
      <x:c r="B31" s="100"/>
      <x:c r="C31" s="100"/>
      <x:c r="D31" s="104"/>
      <x:c r="E31" s="104"/>
      <x:c r="F31" s="102" t="n">
        <x:f>F30</x:f>
        <x:v>1400</x:v>
      </x:c>
      <x:c r="G31" s="100"/>
      <x:c r="H31" s="103"/>
    </x:row>
    <x:row r="32">
      <x:c r="A32" s="96"/>
      <x:c r="B32" s="96"/>
      <x:c r="C32" s="96"/>
      <x:c r="D32" s="105"/>
      <x:c r="E32" s="105"/>
      <x:c r="F32" s="98"/>
      <x:c r="G32" s="96"/>
      <x:c r="H32" s="99"/>
    </x:row>
    <x:row r="33">
      <x:c r="A33" s="106" t="str">
        <x:v>TOTAL ESTIMADO</x:v>
      </x:c>
      <x:c r="B33" s="106"/>
      <x:c r="C33" s="106"/>
      <x:c r="D33" s="107"/>
      <x:c r="E33" s="107"/>
      <x:c r="F33" s="108" t="n">
        <x:f>F18+F28+F31</x:f>
        <x:v>19398.05</x:v>
      </x:c>
      <x:c r="G33" s="96"/>
      <x:c r="H33" s="99"/>
    </x:row>
    <x:row r="34">
      <x:c r="A34" s="109" t="str">
        <x:v>TOPE SOLICITADO</x:v>
      </x:c>
      <x:c r="B34" s="109"/>
      <x:c r="C34" s="109"/>
      <x:c r="D34" s="110"/>
      <x:c r="E34" s="110"/>
      <x:c r="F34" s="111" t="n">
        <x:f>'Fuentes'!B3</x:f>
        <x:v>20000</x:v>
      </x:c>
      <x:c r="G34" s="96"/>
      <x:c r="H34" s="99"/>
    </x:row>
    <x:row r="35">
      <x:c r="A35" s="109" t="str">
        <x:v>MARGEN DISPONIBLE</x:v>
      </x:c>
      <x:c r="B35" s="109"/>
      <x:c r="C35" s="109"/>
      <x:c r="D35" s="110"/>
      <x:c r="E35" s="110"/>
      <x:c r="F35" s="111" t="n">
        <x:f>F34-F33</x:f>
        <x:v>601.9500000000007</x:v>
      </x:c>
      <x:c r="G35" s="96"/>
      <x:c r="H35" s="99"/>
    </x:row>
    <x:row r="36">
      <x:c r="A36" s="112" t="str">
        <x:v>ESTADO</x:v>
      </x:c>
      <x:c r="B36" s="112"/>
      <x:c r="C36" s="112"/>
      <x:c r="D36" s="112"/>
      <x:c r="E36" s="112"/>
      <x:c r="F36" s="113" t="str">
        <x:f>IF(F33&lt;=F34,"DENTRO DEL TOPE","EXCEDE EL TOPE")</x:f>
        <x:v>DENTRO DEL TOPE</x:v>
      </x:c>
      <x:c r="G36" s="114"/>
      <x:c r="H36" s="115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39" t="str">
        <x:v>Validación de la selección del servidor</x:v>
      </x:c>
      <x:c r="B39" s="40"/>
      <x:c r="C39" s="40"/>
      <x:c r="D39" s="40"/>
      <x:c r="E39" s="40"/>
      <x:c r="F39" s="40"/>
      <x:c r="G39" s="40"/>
      <x:c r="H39" s="41"/>
    </x:row>
    <x:row r="40">
      <x:c r="A40" s="35" t="str">
        <x:v>Opción</x:v>
      </x:c>
      <x:c r="B40" s="36" t="str">
        <x:v>Precio de referencia</x:v>
      </x:c>
      <x:c r="C40" s="36" t="str">
        <x:v>Configuración y condición</x:v>
      </x:c>
      <x:c r="D40" s="36"/>
      <x:c r="E40" s="36" t="str">
        <x:v>Impacto</x:v>
      </x:c>
      <x:c r="F40" s="36" t="str">
        <x:v>Decisión</x:v>
      </x:c>
      <x:c r="G40" s="36" t="str">
        <x:v>Fuente</x:v>
      </x:c>
      <x:c r="H40" s="37" t="str">
        <x:v>Nota</x:v>
      </x:c>
    </x:row>
    <x:row r="41" ht="46" customHeight="1">
      <x:c r="A41" s="116" t="str">
        <x:v>Dell PowerEdge R360 base</x:v>
      </x:c>
      <x:c r="B41" s="117" t="n">
        <x:v>6656.03</x:v>
      </x:c>
      <x:c r="C41" s="116" t="str">
        <x:v>Nuevo. E-2414, 32 GB, 2 TB HDD y 1 año de soporte</x:v>
      </x:c>
      <x:c r="D41" s="116"/>
      <x:c r="E41" s="116" t="str">
        <x:v>Requiere ampliar RAM, RAID, SSD y soporte</x:v>
      </x:c>
      <x:c r="F41" s="116" t="str">
        <x:v>Punto de partida</x:v>
      </x:c>
      <x:c r="G41" s="116" t="str">
        <x:v>Dell oficial</x:v>
      </x:c>
      <x:c r="H41" s="116" t="str">
        <x:v>No usar tal cual en producción</x:v>
      </x:c>
    </x:row>
    <x:row r="42" ht="46" customHeight="1">
      <x:c r="A42" s="116" t="str">
        <x:v>R360 cotizado 22-ago-2026</x:v>
      </x:c>
      <x:c r="B42" s="117" t="n">
        <x:v>14792</x:v>
      </x:c>
      <x:c r="C42" s="116" t="str">
        <x:v>Nuevo / CTO. Incluye GPU P4, Windows Server, 64 GB y 7,68 TB brutos SSD</x:v>
      </x:c>
      <x:c r="D42" s="116"/>
      <x:c r="E42" s="116" t="str">
        <x:v>Supera el espacio disponible al nacionalizar</x:v>
      </x:c>
      <x:c r="F42" s="116" t="str">
        <x:v>Reconfigurar</x:v>
      </x:c>
      <x:c r="G42" s="116" t="str">
        <x:v>NewServerLife</x:v>
      </x:c>
      <x:c r="H42" s="116" t="str">
        <x:v>Cotización vencida</x:v>
      </x:c>
    </x:row>
    <x:row r="43" ht="46" customHeight="1">
      <x:c r="A43" s="116" t="str">
        <x:v>R360 recomendado</x:v>
      </x:c>
      <x:c r="B43" s="117" t="n">
        <x:v>11540</x:v>
      </x:c>
      <x:c r="C43" s="116" t="str">
        <x:v>Nuevo / CTO. Sin GPU ni licencias; almacenamiento ajustado a 3,84 TB brutos</x:v>
      </x:c>
      <x:c r="D43" s="116"/>
      <x:c r="E43" s="116" t="str">
        <x:v>Permite cerrar el proyecto cerca de USD 20.000</x:v>
      </x:c>
      <x:c r="F43" s="116" t="str">
        <x:v>Seleccionado</x:v>
      </x:c>
      <x:c r="G43" s="116" t="str">
        <x:v>Tope de negociación</x:v>
      </x:c>
      <x:c r="H43" s="116" t="str">
        <x:v>Solicitar nueva cotización</x:v>
      </x:c>
    </x:row>
    <x:row r="44" ht="46" customHeight="1">
      <x:c r="A44" s="116" t="str">
        <x:v>R660 10SFF del enlace</x:v>
      </x:c>
      <x:c r="B44" s="117" t="n">
        <x:v>12948</x:v>
      </x:c>
      <x:c r="C44" s="116" t="str">
        <x:v>Reacondicionado. Precio inicial antes de CPU, RAM y almacenamiento final</x:v>
      </x:c>
      <x:c r="D44" s="116"/>
      <x:c r="E44" s="116" t="str">
        <x:v>Eleva importación y deja poco margen para red y servicios</x:v>
      </x:c>
      <x:c r="F44" s="116" t="str">
        <x:v>Descartado</x:v>
      </x:c>
      <x:c r="G44" s="116" t="str">
        <x:v>NewServerLife</x:v>
      </x:c>
      <x:c r="H44" s="116" t="str">
        <x:v>Útil si aumenta el presupuesto</x:v>
      </x:c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39" t="str">
        <x:v>Exclusiones y condiciones</x:v>
      </x:c>
      <x:c r="B47" s="40"/>
      <x:c r="C47" s="40"/>
      <x:c r="D47" s="40"/>
      <x:c r="E47" s="40"/>
      <x:c r="F47" s="40"/>
      <x:c r="G47" s="40"/>
      <x:c r="H47" s="41"/>
    </x:row>
    <x:row r="48" ht="44" customHeight="1">
      <x:c r="A48" s="118" t="str">
        <x:v>1</x:v>
      </x:c>
      <x:c r="B48" s="118" t="str">
        <x:v>Licencias</x:v>
      </x:c>
      <x:c r="C48" s="116" t="str">
        <x:v>No se incluyen Windows Server, SQL Server, CAL, antivirus comercial ni suscripciones cloud. El cliente debe aportar licencias válidas o aprobar una alternativa tecnológica.</x:v>
      </x:c>
      <x:c r="D48" s="116"/>
      <x:c r="E48" s="116"/>
      <x:c r="F48" s="116"/>
      <x:c r="G48" s="116"/>
      <x:c r="H48" s="116"/>
    </x:row>
    <x:row r="49" ht="44" customHeight="1">
      <x:c r="A49" s="118" t="str">
        <x:v>2</x:v>
      </x:c>
      <x:c r="B49" s="118" t="str">
        <x:v>Precios por confirmar</x:v>
      </x:c>
      <x:c r="C49" s="116" t="str">
        <x:v>El R360 se presupuestó con un tope FOB de USD 11.540. UPS, rack y referencias históricas deben recotizarse antes de comprar.</x:v>
      </x:c>
      <x:c r="D49" s="116"/>
      <x:c r="E49" s="116"/>
      <x:c r="F49" s="116"/>
      <x:c r="G49" s="116"/>
      <x:c r="H49" s="116"/>
    </x:row>
    <x:row r="50" ht="44" customHeight="1">
      <x:c r="A50" s="118" t="str">
        <x:v>3</x:v>
      </x:c>
      <x:c r="B50" s="118" t="str">
        <x:v>Importación</x:v>
      </x:c>
      <x:c r="C50" s="116" t="str">
        <x:v>Los tributos se estimaron con FODINFA 0,5%, ISD 5% e IVA 15%. La liquidación final depende de subpartida, CIF y gastos reales.</x:v>
      </x:c>
      <x:c r="D50" s="116"/>
      <x:c r="E50" s="116"/>
      <x:c r="F50" s="116"/>
      <x:c r="G50" s="116"/>
      <x:c r="H50" s="116"/>
    </x:row>
    <x:row r="51" ht="44" customHeight="1">
      <x:c r="A51" s="118" t="str">
        <x:v>4</x:v>
      </x:c>
      <x:c r="B51" s="118" t="str">
        <x:v>Operación recurrente</x:v>
      </x:c>
      <x:c r="C51" s="116" t="str">
        <x:v>Incluye únicamente el primer mes de dos programadores virtuales a USD 700 por persona. Los meses posteriores, internet, energía, climatización, monitoreo 24/7 y renovación de garantías son costos recurrentes.</x:v>
      </x:c>
      <x:c r="D51" s="116"/>
      <x:c r="E51" s="116"/>
      <x:c r="F51" s="116"/>
      <x:c r="G51" s="116"/>
      <x:c r="H51" s="116"/>
    </x:row>
  </x:sheetData>
  <x:mergeCells>
    <x:mergeCell ref="C40:D40"/>
    <x:mergeCell ref="C41:D41"/>
    <x:mergeCell ref="C42:D42"/>
    <x:mergeCell ref="C43:D43"/>
    <x:mergeCell ref="C44:D44"/>
  </x:mergeCells>
  <x:conditionalFormatting sqref="A36:F36">
    <x:cfRule type="expression" dxfId="0" priority="1">
      <x:formula>$F$36="EXCEDE EL TOPE"</x:formula>
    </x:cfRule>
    <x:cfRule type="expression" dxfId="1" priority="2">
      <x:formula>$F$36="DENTRO DEL TOPE"</x:formula>
    </x:cfRule>
  </x:conditionalFormatting>
  <x:conditionalFormatting sqref="E6:F6">
    <x:cfRule type="expression" dxfId="2" priority="3">
      <x:formula>$E$6&lt;0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48" hidden="0" customWidth="1"/>
    <x:col min="4" max="4" width="17" hidden="0" customWidth="1"/>
    <x:col min="5" max="5" width="23" hidden="0" customWidth="1"/>
    <x:col min="6" max="6" width="20" hidden="0" customWidth="1"/>
    <x:col min="7" max="7" width="30" hidden="0" customWidth="1"/>
    <x:col min="8" max="8" width="15" hidden="0" customWidth="1"/>
    <x:col min="9" max="9" width="70" hidden="0" customWidth="1"/>
  </x:cols>
  <x:sheetData>
    <x:row r="2">
      <x:c r="A2" s="121" t="str">
        <x:v>Supuestos del presupuesto</x:v>
      </x:c>
      <x:c r="B2" s="121" t="str">
        <x:v>Valor</x:v>
      </x:c>
      <x:c r="C2" s="121" t="str">
        <x:v>Unidad</x:v>
      </x:c>
      <x:c r="D2" s="121" t="str">
        <x:v>Criterio</x:v>
      </x:c>
      <x:c r="E2" s="121" t="str">
        <x:v>Fuente</x:v>
      </x:c>
      <x:c r="F2" s="121" t="str">
        <x:v>Fecha de revisión</x:v>
      </x:c>
      <x:c r="G2" s="121" t="str">
        <x:v>Estado</x:v>
      </x:c>
      <x:c r="H2" s="121" t="str">
        <x:v>Observación</x:v>
      </x:c>
      <x:c r="I2" s="2"/>
    </x:row>
    <x:row r="3">
      <x:c r="A3" s="141" t="str">
        <x:v>Tope del presupuesto</x:v>
      </x:c>
      <x:c r="B3" s="142" t="n">
        <x:v>20000</x:v>
      </x:c>
      <x:c r="C3" s="141" t="str">
        <x:v>USD</x:v>
      </x:c>
      <x:c r="D3" s="141" t="str">
        <x:v>Límite solicitado</x:v>
      </x:c>
      <x:c r="E3" s="141" t="str">
        <x:v>Usuario</x:v>
      </x:c>
      <x:c r="F3" s="143" t="n">
        <x:v>46275</x:v>
      </x:c>
      <x:c r="G3" s="141" t="str">
        <x:v>Vigente</x:v>
      </x:c>
      <x:c r="H3" s="141" t="str">
        <x:v>Incluye impuestos y servicios indicados</x:v>
      </x:c>
      <x:c r="I3" s="116"/>
    </x:row>
    <x:row r="4">
      <x:c r="A4" s="96" t="str">
        <x:v>FODINFA</x:v>
      </x:c>
      <x:c r="B4" s="144" t="n">
        <x:v>0.005</x:v>
      </x:c>
      <x:c r="C4" s="96" t="str">
        <x:v>% sobre CIF</x:v>
      </x:c>
      <x:c r="D4" s="96" t="str">
        <x:v>Estimación de importación</x:v>
      </x:c>
      <x:c r="E4" s="96" t="str">
        <x:v>SENAE</x:v>
      </x:c>
      <x:c r="F4" s="145" t="n">
        <x:v>46275</x:v>
      </x:c>
      <x:c r="G4" s="96" t="str">
        <x:v>Vigente</x:v>
      </x:c>
      <x:c r="H4" s="96" t="str">
        <x:v>Confirmar subpartida con agente de aduana</x:v>
      </x:c>
      <x:c r="I4" s="116"/>
    </x:row>
    <x:row r="5">
      <x:c r="A5" s="96" t="str">
        <x:v>ISD</x:v>
      </x:c>
      <x:c r="B5" s="144" t="n">
        <x:v>0.05</x:v>
      </x:c>
      <x:c r="C5" s="96" t="str">
        <x:v>% sobre pago exterior</x:v>
      </x:c>
      <x:c r="D5" s="96" t="str">
        <x:v>Tarifa general 2026</x:v>
      </x:c>
      <x:c r="E5" s="96" t="str">
        <x:v>SRI</x:v>
      </x:c>
      <x:c r="F5" s="145" t="n">
        <x:v>46275</x:v>
      </x:c>
      <x:c r="G5" s="96" t="str">
        <x:v>Vigente</x:v>
      </x:c>
      <x:c r="H5" s="96" t="str">
        <x:v>Puede variar si aplica beneficio sectorial</x:v>
      </x:c>
      <x:c r="I5" s="116"/>
    </x:row>
    <x:row r="6">
      <x:c r="A6" s="96" t="str">
        <x:v>IVA importación</x:v>
      </x:c>
      <x:c r="B6" s="144" t="n">
        <x:v>0.15</x:v>
      </x:c>
      <x:c r="C6" s="96" t="str">
        <x:v>%</x:v>
      </x:c>
      <x:c r="D6" s="96" t="str">
        <x:v>Escenario conservador</x:v>
      </x:c>
      <x:c r="E6" s="96" t="str">
        <x:v>SENAE</x:v>
      </x:c>
      <x:c r="F6" s="145" t="n">
        <x:v>46275</x:v>
      </x:c>
      <x:c r="G6" s="96" t="str">
        <x:v>Vigente</x:v>
      </x:c>
      <x:c r="H6" s="96" t="str">
        <x:v>SENAE indica 15% para equipos de computación</x:v>
      </x:c>
      <x:c r="I6" s="116"/>
    </x:row>
    <x:row r="7">
      <x:c r="A7" s="96" t="str">
        <x:v>Flete y seguro estimado</x:v>
      </x:c>
      <x:c r="B7" s="146" t="n">
        <x:v>520</x:v>
      </x:c>
      <x:c r="C7" s="96" t="str">
        <x:v>USD</x:v>
      </x:c>
      <x:c r="D7" s="96" t="str">
        <x:v>Reserva logística</x:v>
      </x:c>
      <x:c r="E7" s="96" t="str">
        <x:v>Antecedente de proforma</x:v>
      </x:c>
      <x:c r="F7" s="145" t="n">
        <x:v>46275</x:v>
      </x:c>
      <x:c r="G7" s="96" t="str">
        <x:v>Por cotizar</x:v>
      </x:c>
      <x:c r="H7" s="96" t="str">
        <x:v>Miami a Ecuador</x:v>
      </x:c>
      <x:c r="I7" s="116"/>
    </x:row>
    <x:row r="8">
      <x:c r="A8" s="96" t="str">
        <x:v>Agente y manejo aduanero</x:v>
      </x:c>
      <x:c r="B8" s="146" t="n">
        <x:v>480</x:v>
      </x:c>
      <x:c r="C8" s="96" t="str">
        <x:v>USD</x:v>
      </x:c>
      <x:c r="D8" s="96" t="str">
        <x:v>Reserva logística</x:v>
      </x:c>
      <x:c r="E8" s="96" t="str">
        <x:v>Antecedente de proforma</x:v>
      </x:c>
      <x:c r="F8" s="145" t="n">
        <x:v>46275</x:v>
      </x:c>
      <x:c r="G8" s="96" t="str">
        <x:v>Por cotizar</x:v>
      </x:c>
      <x:c r="H8" s="96" t="str">
        <x:v>No incluye almacenaje extraordinario</x:v>
      </x:c>
      <x:c r="I8" s="116"/>
    </x:row>
    <x:row r="9">
      <x:c r="A9" s="96" t="str">
        <x:v>Tope FOB Dell PowerEdge R360</x:v>
      </x:c>
      <x:c r="B9" s="146" t="n">
        <x:v>11540</x:v>
      </x:c>
      <x:c r="C9" s="96" t="str">
        <x:v>USD</x:v>
      </x:c>
      <x:c r="D9" s="96" t="str">
        <x:v>Configuración sin licencias ni GPU</x:v>
      </x:c>
      <x:c r="E9" s="96" t="str">
        <x:v>Dell + NewServerLife</x:v>
      </x:c>
      <x:c r="F9" s="145" t="n">
        <x:v>46275</x:v>
      </x:c>
      <x:c r="G9" s="96" t="str">
        <x:v>Solicitar cotización</x:v>
      </x:c>
      <x:c r="H9" s="96" t="str">
        <x:v>Negociar como precio máximo para mantener el total bajo USD 20.000</x:v>
      </x:c>
      <x:c r="I9" s="116"/>
    </x:row>
    <x:row r="10">
      <x:c r="A10" s="114" t="str">
        <x:v>Honorario mensual por programador</x:v>
      </x:c>
      <x:c r="B10" s="147" t="n">
        <x:v>700</x:v>
      </x:c>
      <x:c r="C10" s="114" t="str">
        <x:v>USD / mes</x:v>
      </x:c>
      <x:c r="D10" s="114" t="str">
        <x:v>Trabajo virtual</x:v>
      </x:c>
      <x:c r="E10" s="114" t="str">
        <x:v>Usuario</x:v>
      </x:c>
      <x:c r="F10" s="148" t="n">
        <x:v>46275</x:v>
      </x:c>
      <x:c r="G10" s="114" t="str">
        <x:v>Acordado</x:v>
      </x:c>
      <x:c r="H10" s="114" t="str">
        <x:v>El presupuesto inicial incluye el primer mes para dos programadores</x:v>
      </x:c>
      <x:c r="I10" s="116"/>
    </x:row>
    <x:row r="11">
      <x:c r="A11" s="116"/>
      <x:c r="B11" s="116"/>
      <x:c r="C11" s="116"/>
      <x:c r="D11" s="116"/>
      <x:c r="E11" s="116"/>
      <x:c r="F11" s="116"/>
      <x:c r="G11" s="116"/>
      <x:c r="H11" s="116"/>
      <x:c r="I11" s="116"/>
    </x:row>
    <x:row r="12" ht="32" customHeight="1">
      <x:c r="A12" s="123" t="str">
        <x:v>ID</x:v>
      </x:c>
      <x:c r="B12" s="123" t="str">
        <x:v>Proveedor / fuente</x:v>
      </x:c>
      <x:c r="C12" s="123" t="str">
        <x:v>Producto o dato</x:v>
      </x:c>
      <x:c r="D12" s="123" t="str">
        <x:v>Precio publicado</x:v>
      </x:c>
      <x:c r="E12" s="123" t="str">
        <x:v>Impuestos</x:v>
      </x:c>
      <x:c r="F12" s="123" t="str">
        <x:v>Disponibilidad</x:v>
      </x:c>
      <x:c r="G12" s="123" t="str">
        <x:v>Uso en presupuesto</x:v>
      </x:c>
      <x:c r="H12" s="123" t="str">
        <x:v>Fecha</x:v>
      </x:c>
      <x:c r="I12" s="123" t="str">
        <x:v>URL / referencia</x:v>
      </x:c>
    </x:row>
    <x:row r="13" ht="48" customHeight="1">
      <x:c r="A13" s="141" t="str">
        <x:v>S01</x:v>
      </x:c>
      <x:c r="B13" s="141" t="str">
        <x:v>Dell oficial</x:v>
      </x:c>
      <x:c r="C13" s="141" t="str">
        <x:v>PowerEdge R360 base: Xeon E-2414, 32 GB, 2 TB HDD, 1 año soporte</x:v>
      </x:c>
      <x:c r="D13" s="149" t="n">
        <x:v>6656.03</x:v>
      </x:c>
      <x:c r="E13" s="141" t="str">
        <x:v>Antes de impuestos y envío</x:v>
      </x:c>
      <x:c r="F13" s="141" t="str">
        <x:v>Publicado</x:v>
      </x:c>
      <x:c r="G13" s="141" t="str">
        <x:v>Referencia inferior, no configuración final</x:v>
      </x:c>
      <x:c r="H13" s="143" t="n">
        <x:v>46275</x:v>
      </x:c>
      <x:c r="I13" s="152" t="str">
        <x:v>https://www.dell.com/en-us/shop/ipovw/poweredge-r360</x:v>
      </x:c>
    </x:row>
    <x:row r="14" ht="48" customHeight="1">
      <x:c r="A14" s="96" t="str">
        <x:v>S02</x:v>
      </x:c>
      <x:c r="B14" s="96" t="str">
        <x:v>NewServerLife</x:v>
      </x:c>
      <x:c r="C14" s="96" t="str">
        <x:v>Dell PowerEdge R660 10SFF reacondicionado</x:v>
      </x:c>
      <x:c r="D14" s="150" t="n">
        <x:v>12948</x:v>
      </x:c>
      <x:c r="E14" s="96" t="str">
        <x:v>Antes de importación</x:v>
      </x:c>
      <x:c r="F14" s="96" t="str">
        <x:v>Precio inicial</x:v>
      </x:c>
      <x:c r="G14" s="96" t="str">
        <x:v>Comparativo; descartado por presupuesto</x:v>
      </x:c>
      <x:c r="H14" s="145" t="n">
        <x:v>46275</x:v>
      </x:c>
      <x:c r="I14" s="153" t="str">
        <x:v>https://newserverlife.com/configure/dell-poweredge-r660-10sff/</x:v>
      </x:c>
    </x:row>
    <x:row r="15" ht="48" customHeight="1">
      <x:c r="A15" s="96" t="str">
        <x:v>S03</x:v>
      </x:c>
      <x:c r="B15" s="96" t="str">
        <x:v>NewServerLife</x:v>
      </x:c>
      <x:c r="C15" s="96" t="str">
        <x:v>R360 8SFF: E-2488, 64 GB, H755, SSD, 10GbE, GPU P4, Windows Server, 2 años</x:v>
      </x:c>
      <x:c r="D15" s="150" t="n">
        <x:v>14792</x:v>
      </x:c>
      <x:c r="E15" s="96" t="str">
        <x:v>FOB</x:v>
      </x:c>
      <x:c r="F15" s="96" t="str">
        <x:v>Cotización vencida 05-sep-2026</x:v>
      </x:c>
      <x:c r="G15" s="96" t="str">
        <x:v>Base para pedir reconfiguración sin GPU ni licencia</x:v>
      </x:c>
      <x:c r="H15" s="145" t="n">
        <x:v>46256</x:v>
      </x:c>
      <x:c r="I15" s="153" t="str">
        <x:v>C:/Users/DELL/Downloads/make (1).pdf - ref. 082226-276986</x:v>
      </x:c>
    </x:row>
    <x:row r="16" ht="48" customHeight="1">
      <x:c r="A16" s="96" t="str">
        <x:v>S04</x:v>
      </x:c>
      <x:c r="B16" s="96" t="str">
        <x:v>IDC Mayoristas</x:v>
      </x:c>
      <x:c r="C16" s="96" t="str">
        <x:v>UPS CDP UPO11-3RT online 3000VA / 2700W</x:v>
      </x:c>
      <x:c r="D16" s="150" t="n">
        <x:v>301.97</x:v>
      </x:c>
      <x:c r="E16" s="96" t="str">
        <x:v>Incluye IVA</x:v>
      </x:c>
      <x:c r="F16" s="96" t="str">
        <x:v>Agotado en consulta</x:v>
      </x:c>
      <x:c r="G16" s="96" t="str">
        <x:v>Reserva al último precio visible</x:v>
      </x:c>
      <x:c r="H16" s="145" t="n">
        <x:v>46275</x:v>
      </x:c>
      <x:c r="I16" s="153" t="str">
        <x:v>https://www.idcmayoristas.com/producto/ups-cdp-upo11-3-3000va-2700w-e-s-120v-monofasico-007886-laptops-quito/</x:v>
      </x:c>
    </x:row>
    <x:row r="17" ht="48" customHeight="1">
      <x:c r="A17" s="96" t="str">
        <x:v>S05</x:v>
      </x:c>
      <x:c r="B17" s="96" t="str">
        <x:v>IDC Mayoristas</x:v>
      </x:c>
      <x:c r="C17" s="96" t="str">
        <x:v>Switch TP-Link JetStream 24 GE PoE+ y 4 SFP+ 10Gb</x:v>
      </x:c>
      <x:c r="D17" s="150" t="n">
        <x:v>460.69</x:v>
      </x:c>
      <x:c r="E17" s="96" t="str">
        <x:v>Incluye IVA</x:v>
      </x:c>
      <x:c r="F17" s="96" t="str">
        <x:v>En tránsito</x:v>
      </x:c>
      <x:c r="G17" s="96" t="str">
        <x:v>Seleccionado</x:v>
      </x:c>
      <x:c r="H17" s="145" t="n">
        <x:v>46275</x:v>
      </x:c>
      <x:c r="I17" s="153" t="str">
        <x:v>https://www.idcmayoristas.com/producto/tp-link-switch-tplink-jetstream-24-puertos-gigabit-tp-tl-sg3428xmp/</x:v>
      </x:c>
    </x:row>
    <x:row r="18" ht="48" customHeight="1">
      <x:c r="A18" s="96" t="str">
        <x:v>S06</x:v>
      </x:c>
      <x:c r="B18" s="96" t="str">
        <x:v>IDC Mayoristas</x:v>
      </x:c>
      <x:c r="C18" s="96" t="str">
        <x:v>Patch panel Newlink Cat6, 24 puertos</x:v>
      </x:c>
      <x:c r="D18" s="150" t="n">
        <x:v>69.63</x:v>
      </x:c>
      <x:c r="E18" s="96" t="str">
        <x:v>Incluye IVA</x:v>
      </x:c>
      <x:c r="F18" s="96" t="str">
        <x:v>En tránsito</x:v>
      </x:c>
      <x:c r="G18" s="96" t="str">
        <x:v>Seleccionado</x:v>
      </x:c>
      <x:c r="H18" s="145" t="n">
        <x:v>46275</x:v>
      </x:c>
      <x:c r="I18" s="153" t="str">
        <x:v>https://www.idcmayoristas.com/producto/generico-patch-panel-cat6-24-puertos-newlink-nl-ppcat624pt/</x:v>
      </x:c>
    </x:row>
    <x:row r="19" ht="48" customHeight="1">
      <x:c r="A19" s="96" t="str">
        <x:v>S07</x:v>
      </x:c>
      <x:c r="B19" s="96" t="str">
        <x:v>IDC Mayoristas</x:v>
      </x:c>
      <x:c r="C19" s="96" t="str">
        <x:v>Disco WD Red Pro NAS 8 TB</x:v>
      </x:c>
      <x:c r="D19" s="150" t="n">
        <x:v>388.03</x:v>
      </x:c>
      <x:c r="E19" s="96" t="str">
        <x:v>Incluye IVA</x:v>
      </x:c>
      <x:c r="F19" s="96" t="str">
        <x:v>En tránsito</x:v>
      </x:c>
      <x:c r="G19" s="96" t="str">
        <x:v>2 unidades para RAID 1</x:v>
      </x:c>
      <x:c r="H19" s="145" t="n">
        <x:v>46275</x:v>
      </x:c>
      <x:c r="I19" s="153" t="str">
        <x:v>https://www.idcmayoristas.com/producto/disco-duro-western-digital-8tb-sata-7200rpm-3-5inch-wd8005ffbx-tcws/</x:v>
      </x:c>
    </x:row>
    <x:row r="20" ht="48" customHeight="1">
      <x:c r="A20" s="96" t="str">
        <x:v>S08</x:v>
      </x:c>
      <x:c r="B20" s="96" t="str">
        <x:v>Proforma ECLOF</x:v>
      </x:c>
      <x:c r="C20" s="96" t="str">
        <x:v>Router MikroTik RB4011iGS+RM</x:v>
      </x:c>
      <x:c r="D20" s="150" t="n">
        <x:v>399</x:v>
      </x:c>
      <x:c r="E20" s="96" t="str">
        <x:v>Más IVA 15%</x:v>
      </x:c>
      <x:c r="F20" s="96" t="str">
        <x:v>Precio histórico</x:v>
      </x:c>
      <x:c r="G20" s="96" t="str">
        <x:v>Seleccionado con IVA</x:v>
      </x:c>
      <x:c r="H20" s="145" t="n">
        <x:v>46055</x:v>
      </x:c>
      <x:c r="I20" s="153" t="str">
        <x:v>C:/Users/DELL/Downloads/PROFORMA DE CABLEADO ESTRUCTURAL/PRESUPUESTO ECLOF 02022026.pdf</x:v>
      </x:c>
    </x:row>
    <x:row r="21" ht="48" customHeight="1">
      <x:c r="A21" s="96" t="str">
        <x:v>S09</x:v>
      </x:c>
      <x:c r="B21" s="96" t="str">
        <x:v>Proforma ECLOF</x:v>
      </x:c>
      <x:c r="C21" s="96" t="str">
        <x:v>NAS Synology DS223j, 2 bahías, sin discos</x:v>
      </x:c>
      <x:c r="D21" s="150" t="n">
        <x:v>265.65</x:v>
      </x:c>
      <x:c r="E21" s="96" t="str">
        <x:v>Más IVA 15%</x:v>
      </x:c>
      <x:c r="F21" s="96" t="str">
        <x:v>Precio histórico</x:v>
      </x:c>
      <x:c r="G21" s="96" t="str">
        <x:v>Seleccionado con IVA</x:v>
      </x:c>
      <x:c r="H21" s="145" t="n">
        <x:v>46055</x:v>
      </x:c>
      <x:c r="I21" s="153" t="str">
        <x:v>C:/Users/DELL/Downloads/PROFORMA DE CABLEADO ESTRUCTURAL/PRESUPUESTO ECLOF 02022026.pdf</x:v>
      </x:c>
    </x:row>
    <x:row r="22" ht="48" customHeight="1">
      <x:c r="A22" s="114" t="str">
        <x:v>S10</x:v>
      </x:c>
      <x:c r="B22" s="114" t="str">
        <x:v>SENAE / SRI</x:v>
      </x:c>
      <x:c r="C22" s="114" t="str">
        <x:v>Tributos de importación: FODINFA 0,5%, IVA 15%, ISD general 5%</x:v>
      </x:c>
      <x:c r="D22" s="151"/>
      <x:c r="E22" s="114" t="str">
        <x:v>No aplica</x:v>
      </x:c>
      <x:c r="F22" s="114" t="str">
        <x:v>Normativa consultada</x:v>
      </x:c>
      <x:c r="G22" s="114" t="str">
        <x:v>Cálculo de nacionalización</x:v>
      </x:c>
      <x:c r="H22" s="148" t="n">
        <x:v>46275</x:v>
      </x:c>
      <x:c r="I22" s="154" t="str">
        <x:v>https://www.aduana.gob.ec/servicio-al-ciudadano/para-importar/ | https://www.sri.gob.ec/impuesto-a-la-salida-de-divisas-isd</x:v>
      </x:c>
    </x:row>
  </x:sheetData>
  <x:pageMargins left="0.7" right="0.7" top="0.75" bottom="0.75" header="0.3" footer="0.3"/>
</x:worksheet>
</file>